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atiana_postnikova_capgemini_com/Documents/Documents/02. Gobelins/03_deep dives/testing/"/>
    </mc:Choice>
  </mc:AlternateContent>
  <xr:revisionPtr revIDLastSave="10" documentId="11_2A980B38FE045FFD8A986A16701C185A7E91D35B" xr6:coauthVersionLast="47" xr6:coauthVersionMax="47" xr10:uidLastSave="{C1359402-D9CD-441B-B2A6-8B4FE9F6DD93}"/>
  <bookViews>
    <workbookView xWindow="-110" yWindow="-110" windowWidth="19420" windowHeight="12300" tabRatio="500" xr2:uid="{00000000-000D-0000-FFFF-FFFF00000000}"/>
  </bookViews>
  <sheets>
    <sheet name="Outcomes" sheetId="1" r:id="rId1"/>
    <sheet name="Evidence" sheetId="2" r:id="rId2"/>
    <sheet name="Quantitative" sheetId="3" r:id="rId3"/>
    <sheet name="Qualitativ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" i="1" l="1"/>
  <c r="O8" i="1"/>
  <c r="N8" i="1"/>
  <c r="M8" i="1"/>
  <c r="L8" i="1"/>
  <c r="K8" i="1"/>
  <c r="J8" i="1"/>
  <c r="I8" i="1"/>
  <c r="H8" i="1"/>
  <c r="G8" i="1"/>
  <c r="F8" i="1"/>
  <c r="E8" i="1"/>
  <c r="D8" i="1"/>
  <c r="C8" i="1"/>
  <c r="R7" i="1"/>
  <c r="R8" i="1" s="1"/>
  <c r="Q7" i="1"/>
  <c r="Q8" i="1" s="1"/>
  <c r="R6" i="1"/>
  <c r="Q6" i="1"/>
  <c r="R5" i="1"/>
  <c r="Q5" i="1"/>
  <c r="R4" i="1"/>
  <c r="Q4" i="1"/>
  <c r="R3" i="1"/>
  <c r="Q3" i="1"/>
</calcChain>
</file>

<file path=xl/sharedStrings.xml><?xml version="1.0" encoding="utf-8"?>
<sst xmlns="http://schemas.openxmlformats.org/spreadsheetml/2006/main" count="376" uniqueCount="166">
  <si>
    <t>Likert 1-5 (strongly disagree -&gt; strongly agree). Q1-Q10 = System Usability Scale, Q11-Q14 = WhereWear-specific. Scores are researcher-inferred from think-aloud transcripts, not self-reported - see Evidence tab for the quote behind each one.</t>
  </si>
  <si>
    <t>Participant</t>
  </si>
  <si>
    <t>Test date</t>
  </si>
  <si>
    <t>Q1. I think that I would like to use this service frequently.</t>
  </si>
  <si>
    <t>Q2. I found the service unnecessarily complex.</t>
  </si>
  <si>
    <t>Q3. I thought the service was easy to use.</t>
  </si>
  <si>
    <t>Q4. I think that I would need the support of a technical person to be able to use this service.</t>
  </si>
  <si>
    <t>Q5. I found the various functions in this service were well integrated.</t>
  </si>
  <si>
    <t>Q6. I thought there was too much inconsistency in this service.</t>
  </si>
  <si>
    <t>Q7. I would imagine that most people would learn to use this service very quickly.</t>
  </si>
  <si>
    <t>Q8. I found the service very cumbersome to use.</t>
  </si>
  <si>
    <t>Q9. I felt very confident using the service.</t>
  </si>
  <si>
    <t>Q10. I needed to learn a lot of things before I could get going with this service.</t>
  </si>
  <si>
    <t>Q11. I felt confident that I could find a piece appropriate for my occasion.</t>
  </si>
  <si>
    <t>Q12. I had enough information to decide whether the piece would fit me.</t>
  </si>
  <si>
    <t>Q13. I trusted the owner enough to commit to the rental.</t>
  </si>
  <si>
    <t>Q14. The rental terms (deposit, cleaning, return) felt fair and clear.</t>
  </si>
  <si>
    <t>SUS score (0-100)</t>
  </si>
  <si>
    <t>WhereWear items - average (0-5)</t>
  </si>
  <si>
    <t>P1 · 553293903 · 20 Jun</t>
  </si>
  <si>
    <t>2026-06-20</t>
  </si>
  <si>
    <t>P2 · 553695971 · 22 Jun</t>
  </si>
  <si>
    <t>2026-06-22</t>
  </si>
  <si>
    <t>P3 · 553744729 · 22 Jun</t>
  </si>
  <si>
    <t>P4 · 555796148 · 26 Jun</t>
  </si>
  <si>
    <t>2026-06-26</t>
  </si>
  <si>
    <t>P5 · 556464047 · 29 Jun</t>
  </si>
  <si>
    <t>2026-06-29</t>
  </si>
  <si>
    <t>Average (n=5)</t>
  </si>
  <si>
    <t>Item</t>
  </si>
  <si>
    <t>Statement</t>
  </si>
  <si>
    <t>Score (1-5)</t>
  </si>
  <si>
    <t>Evidence / rationale</t>
  </si>
  <si>
    <t>Q1</t>
  </si>
  <si>
    <t>I think that I would like to use this service frequently.</t>
  </si>
  <si>
    <t>Engaged, constructive tone throughout (offers her own feature ideas unprompted); no explicit ‘I’d use this often’ statement, so kept moderate rather than high.</t>
  </si>
  <si>
    <t>Q2</t>
  </si>
  <si>
    <t>I found the service unnecessarily complex.</t>
  </si>
  <si>
    <t>Several specific ‘confusing’/‘misleading’ moments (login vs. sign-up ambiguity, per-day vs. per-rental price) but she still self-navigated the whole flow — partial, not broad, complexity.</t>
  </si>
  <si>
    <t>Q3</t>
  </si>
  <si>
    <t>I thought the service was easy to use.</t>
  </si>
  <si>
    <t>“Okay. No problem.” and steady progress through the whole flow, cancel-booking and order-history included, without getting stuck.</t>
  </si>
  <si>
    <t>Q4</t>
  </si>
  <si>
    <t>I think that I would need the support of a technical person to be able to use this service.</t>
  </si>
  <si>
    <t>Entire session is a self-directed monologue; she resolves her own confusion out loud and never asks for help.</t>
  </si>
  <si>
    <t>Q5</t>
  </si>
  <si>
    <t>I found the various functions in this service were well integrated.</t>
  </si>
  <si>
    <t>Names several gaps between features (no localized sizing, no brand name field, no usage rules) that read as pieces not yet joined up.</t>
  </si>
  <si>
    <t>Q6</t>
  </si>
  <si>
    <t>I thought there was too much inconsistency in this service.</t>
  </si>
  <si>
    <t>“It's, in theory, it's it's a bit but it's still 65” — the fee breakdown didn't visibly add up to her.</t>
  </si>
  <si>
    <t>Q7</t>
  </si>
  <si>
    <t>I would imagine that most people would learn to use this service very quickly.</t>
  </si>
  <si>
    <t>Confusion from an unusually thorough, professional user suggests a less expert user would need even more explanation.</t>
  </si>
  <si>
    <t>Q8</t>
  </si>
  <si>
    <t>I found the service very cumbersome to use.</t>
  </si>
  <si>
    <t>No repeated failed actions on the core path; friction is about missing information, not effortful interaction.</t>
  </si>
  <si>
    <t>Q9</t>
  </si>
  <si>
    <t>I felt very confident using the service.</t>
  </si>
  <si>
    <t>Confident, directive language throughout (“I would...”, “I click...”), with pockets of explicit uncertainty on sizing/brand.</t>
  </si>
  <si>
    <t>Q10</t>
  </si>
  <si>
    <t>I needed to learn a lot of things before I could get going with this service.</t>
  </si>
  <si>
    <t>Had to infer a lot of unstated logic (pricing math, cleaning inclusion, cancellation date) on her own.</t>
  </si>
  <si>
    <t>Q11</t>
  </si>
  <si>
    <t>I felt confident that I could find a piece appropriate for my occasion.</t>
  </si>
  <si>
    <t>Found, filtered and fully evaluated a dress end to end; wanted more filters (brand, fabric, weather) to be fully confident.</t>
  </si>
  <si>
    <t>Q12</t>
  </si>
  <si>
    <t>I had enough information to decide whether the piece would fit me.</t>
  </si>
  <si>
    <t>“I have no idea what I am... I need to measure myself” — no size-standard conversion, explicit fit-confidence gap.</t>
  </si>
  <si>
    <t>Q13</t>
  </si>
  <si>
    <t>I trusted the owner enough to commit to the rental.</t>
  </si>
  <si>
    <t>No distrust of the specific owner; wants platform-level guarantees (insurance, quality control) before fully committing — a system-trust gap more than an owner-trust one.</t>
  </si>
  <si>
    <t>Q14</t>
  </si>
  <si>
    <t>The rental terms (deposit, cleaning, return) felt fair and clear.</t>
  </si>
  <si>
    <t>“Is it, like, correct, this price?” — deposit/service-fee breakdown questioned explicitly; wanted terms explained before booking, not just at booking.</t>
  </si>
  <si>
    <t>Positive overall (“I think it's easy... everything else is sort of smooth”) but no explicit frequency statement.</t>
  </si>
  <si>
    <t>Explicitly frames the experience as easy overall, with two specific, named exceptions — not broad complexity.</t>
  </si>
  <si>
    <t>Self-report: “I think it's, easy... Everything else is sort of smooth.”</t>
  </si>
  <si>
    <t>No help requested; voices confusion aloud (that's the method) but resolves it herself.</t>
  </si>
  <si>
    <t>“This was not very intuitive for me” re: locating the price filter after size/scroll.</t>
  </si>
  <si>
    <t>“Why is it 65? It was, I think, 20... not clear what's the logic” plus “What the hell is service fee?” said twice, unprompted.</t>
  </si>
  <si>
    <t>Her own framing (“I think it's easy”) suggests most people would pick it up, net of the two fee surprises.</t>
  </si>
  <si>
    <t>Flow itself wasn't laborious once filters were found; no repeated failed taps.</t>
  </si>
  <si>
    <t>Directive, confident phrasing throughout (“I would just...”, “I can filter...”).</t>
  </si>
  <si>
    <t>Some self-teaching needed on filters and the price jump, but not extensive.</t>
  </si>
  <si>
    <t>“So I think it's easy” — completed smoothly end to end.</t>
  </si>
  <si>
    <t>Engaged fully with size/measurements/fit-proof panel; no fit complaint voiced.</t>
  </si>
  <si>
    <t>“Owner renting is good, since 2023. Good amount of rentals.” — explicit positive trust signal, unprompted.</t>
  </si>
  <si>
    <t>Named pain point of the whole session: deposit + “what the hell is service fee” + delivery ‘kind of expensive’, flagged as the top two surprises in her own debrief.</t>
  </si>
  <si>
    <t>No explicit frequency statement, but the whole session is friction-free and enthusiastic; scored on the strength of that overall experience.</t>
  </si>
  <si>
    <t>Essentially zero complexity complaints across the whole journey.</t>
  </si>
  <si>
    <t>Continuous “okay / very nice / perfect / everything is clear” throughout; fastest, smoothest of the five sessions.</t>
  </si>
  <si>
    <t>No help needed at any point; moves through independently start to finish.</t>
  </si>
  <si>
    <t>Filters, fit summary, price, cancellation policy all read as one coherent flow with no named gaps.</t>
  </si>
  <si>
    <t>No inconsistency flagged anywhere, including the 20/night → 65-for-3-days math that confused two other participants — she reads it as “perfect... because of my budget.”</t>
  </si>
  <si>
    <t>Given the ease and pace of this session, plausibly the easiest for a new user to pick up of the five.</t>
  </si>
  <si>
    <t>One tiny hiccup (a swatch “not clickable”, immediately worked around) — not cumbersome.</t>
  </si>
  <si>
    <t>Decisive, confident language throughout (“I think that, now I need to select...”, “perfect choice”).</t>
  </si>
  <si>
    <t>Very little visible learning curve; fluent from the first screen.</t>
  </si>
  <si>
    <t>Filtered by size, dates, price and location without friction, arrived at a dress she liked directly.</t>
  </si>
  <si>
    <t>“My measurements fit to these measurements... ideal, good fit. Everything is good.”</t>
  </si>
  <si>
    <t>“The opinions and the reviews are very important... 4.8. So very nice” re: owner/style profile.</t>
  </si>
  <si>
    <t>“The price, perfect... everything here” — terms accepted without objection (deposit mention brief/neutral rather than enthusiastic, hence 4 not 5).</t>
  </si>
  <si>
    <t>No explicit statement; mixed experience (real friction + constructive suggestions rather than rejection) — kept neutral.</t>
  </si>
  <si>
    <t>Multiple distinct friction points: event-type mis-click, a price figure that didn't track (“110 a night” vs. “300 and 30”), non-working size selector.</t>
  </si>
  <si>
    <t>Completed the booking, but with visible friction at several distinct steps rather than a smooth run.</t>
  </si>
  <si>
    <t>Self-resolved everything without asking for direct help; scored low-but-not-lowest given the number of dead ends worked around alone.</t>
  </si>
  <si>
    <t>Explicitly asked for things that don't exist yet: owner's other items, self-drop-off option, a cart for multiple pieces.</t>
  </si>
  <si>
    <t>Price figures didn't visibly reconcile for her, similar pattern to two other participants' pricing confusion.</t>
  </si>
  <si>
    <t>“If you're actually sitting with the phone in your hand, I don't think you would actually scroll” — a real discoverability problem for average users, not just her.</t>
  </si>
  <si>
    <t>“It doesn't do anything” (size selector) and “That doesn't work” (another control) — some cumbersome moments, not pervasive.</t>
  </si>
  <si>
    <t>Pushed through and completed with decisive suggestions, but voiced genuine uncertainty at several points (“I don't know. Is that an option?”).</t>
  </si>
  <si>
    <t>Had to discover scroll behaviour and work around non-responsive controls on her own.</t>
  </si>
  <si>
    <t>Completed, but the session opens with a mis-click between ‘wedding’ and ‘wedding guest’ event types.</t>
  </si>
  <si>
    <t>“I still can't do my size, but okay” — explicit, unresolved sizing friction.</t>
  </si>
  <si>
    <t>Wanted more owner context (“could I say see more items by this rental person?”) not available; reviews themselves read positively.</t>
  </si>
  <si>
    <t>Guessed rather than confirmed the cancellation policy (“maybe that would be cancellation policy”); pricing display was confusing.</t>
  </si>
  <si>
    <t>No clear statement either way; broken/hesitant English throughout makes intent hard to read — kept neutral.</t>
  </si>
  <si>
    <t>Frequent need to check nearly every step (“Correct?”) suggests the flow felt complex — may partly be a language-barrier effect (see note).</t>
  </si>
  <si>
    <t>Completed, but with heavy step-by-step scaffolding rather than fluent, independent use.</t>
  </si>
  <si>
    <t>Strongest need-for-support signal of the five participants: near-constant confirmation-seeking with the moderator across the whole session.</t>
  </si>
  <si>
    <t>A broken image (“We can't see any image”) and a non-responsive control (“This will also not select”) both experienced directly.</t>
  </si>
  <si>
    <t>Some inconsistency implied (broken image, unclear ‘not within stain’ size/availability moment) but evidence is thinner/harder to parse than for other participants.</t>
  </si>
  <si>
    <t>Given how much reassurance she needed step by step, less confident an average user would move as slowly — though confounded with the language barrier.</t>
  </si>
  <si>
    <t>A couple of repeated failed selection attempts (“This will also not select”).</t>
  </si>
  <si>
    <t>The pervasive “Correct?” checking is itself the clearest low-confidence signal in the whole dataset.</t>
  </si>
  <si>
    <t>Needed continuous moderator scaffolding to get through the flow.</t>
  </si>
  <si>
    <t>Completed (booking confirmed) but with real uncertainty at mode- and event-type selection.</t>
  </si>
  <si>
    <t>Fit/size detail barely discussed explicitly; a broken product image limited what she could evaluate — low-evidence estimate.</t>
  </si>
  <si>
    <t>No explicit owner-trust commentary in either direction in this transcript — low-evidence, kept neutral.</t>
  </si>
  <si>
    <t>Budget was confirmed as a step but no explicit reaction to deposit/cleaning/return terms — low-evidence, kept neutral.</t>
  </si>
  <si>
    <t>Success (task completed?)</t>
  </si>
  <si>
    <t>Time on task</t>
  </si>
  <si>
    <t>Errors / retries (approx.)</t>
  </si>
  <si>
    <t>Number of moderator prompts</t>
  </si>
  <si>
    <t>Notes</t>
  </si>
  <si>
    <t>Completed</t>
  </si>
  <si>
    <t>≈27m 44s (00:00:06–00:27:50)</t>
  </si>
  <si>
    <t>N/A</t>
  </si>
  <si>
    <t>Very thorough session; kept going past booking into cancel-booking and order-history exploration.</t>
  </si>
  <si>
    <t>≈8m 31s (00:00:02–00:08:33)</t>
  </si>
  <si>
    <t>Budget filter unresponsive, couldn't set km radius, price jump 20→65 unclear.</t>
  </si>
  <si>
    <t>≈7m 26s task; ≈12m 35s incl. ~4.5min briefing</t>
  </si>
  <si>
    <t>Smoothest session of the five. One swatch not clickable, resolved immediately.</t>
  </si>
  <si>
    <t>≈7m 20s captured — transcript cuts off, likely a floor</t>
  </si>
  <si>
    <t>Event-type mis-click, price figures didn't reconcile, size selector unresponsive, ended mid-flow adding a 2nd item.</t>
  </si>
  <si>
    <t>≈7m 14s captured — transcript cuts off, likely a floor</t>
  </si>
  <si>
    <t>Broken image, one unresponsive control, unclear availability moment. Near-constant confirmation-seeking — language-barrier flag.</t>
  </si>
  <si>
    <t>Verbatim quotes</t>
  </si>
  <si>
    <t>Emotional reaction</t>
  </si>
  <si>
    <t>Spontaneous suggestions</t>
  </si>
  <si>
    <t>“Here you put €65 parental. But, I mean, if I need it for a week, is it still 65?”
“I would also, like, this insurance fee... this would guarantee that what I receive is good. If not, I will give it back.”
“I have no idea what I am. Like, I look at chest 96, and I say, god, what am I?”</t>
  </si>
  <si>
    <t>Engaged, constructive scrutiny — not frustrated, but repeatedly surfaces gaps.</t>
  </si>
  <si>
    <t>Localize sizing (US/UK/EU/cm toggle); show brand name in title; clarify cleaning/service fee inclusions before booking; add usage rules (indoor/outdoor, pets, smoking); optional insurance/quality-guarantee fee; renter photos on real bodies; adjustable-radius slider instead of presets.</t>
  </si>
  <si>
    <t>“What the hell is service fee?”
“I'm only finding it out here that I need to pay deposit.”
“I think it's easy... Everything else is sort of smooth.”</t>
  </si>
  <si>
    <t>Confident and positive overall, with a sharp frustration spike at the fee breakdown.</t>
  </si>
  <si>
    <t>Surface deposit/delivery/service-fee total earlier in the flow, not only at the booking screen; make the price filter easier to find.</t>
  </si>
  <si>
    <t>“The opinions and the reviews are very important... 4.8. So very nice.”
“Everything is clear here... I will have my perfect dress for the wedding.”</t>
  </si>
  <si>
    <t>Consistently confident and positive — the smoothest, most delighted session of the five.</t>
  </si>
  <si>
    <t>None volunteered — no friction surfaced to prompt a suggestion.</t>
  </si>
  <si>
    <t>“I think it would be helpful to have a bar on the side if there's scrollable options... if you're actually sitting with the phone in your hand, I don't think you would actually scroll.”
“I still can't do my size, but okay.”
“I would like to have sort of a shopping cart or something with the things I've already added. So I don't know how to restart.”</t>
  </si>
  <si>
    <t>Hesitant but persistent — works around dead ends rather than giving up.</t>
  </si>
  <si>
    <t>Visible scroll indicator on filter/option panels; self-drop-off delivery option; link to ‘more items by this owner’; multi-item cart.</t>
  </si>
  <si>
    <t>“This is a blank one. Okay? We can't see any image. Correct? For now?”
“So whenever I click, I need to tell you that why and I need to click here to see this one, like that. Correct?”
“This will also not select.”</t>
  </si>
  <si>
    <t>Low confidence, frequent confirmation-seeking — read together with the language-barrier flag.</t>
  </si>
  <si>
    <t>Fix broken product-image loading; make unavailable/unselectable options visibly disabled rather than silently inert.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</si>
</sst>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i/>
      <sz val="9"/>
      <color rgb="FF8A7F70"/>
      <name val="Cambria"/>
      <charset val="1"/>
    </font>
    <font>
      <b/>
      <sz val="10"/>
      <color rgb="FFFFFFFF"/>
      <name val="Cambria"/>
      <charset val="1"/>
    </font>
    <font>
      <b/>
      <sz val="10"/>
      <name val="Cambria"/>
      <charset val="1"/>
    </font>
    <font>
      <b/>
      <sz val="11"/>
      <name val="Cambria"/>
      <charset val="1"/>
    </font>
    <font>
      <b/>
      <i/>
      <sz val="11"/>
      <name val="Cambria"/>
      <charset val="1"/>
    </font>
    <font>
      <b/>
      <sz val="11"/>
      <color rgb="FF4C6B4F"/>
      <name val="Cambria"/>
      <charset val="1"/>
    </font>
    <font>
      <b/>
      <sz val="11"/>
      <color rgb="FF8A7F70"/>
      <name val="Cambria"/>
      <charset val="1"/>
    </font>
    <font>
      <b/>
      <sz val="11"/>
      <color rgb="FFA03A3A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  <fill>
      <patternFill patternType="solid">
        <fgColor rgb="FF9C7559"/>
        <bgColor rgb="FF8A7F70"/>
      </patternFill>
    </fill>
    <fill>
      <patternFill patternType="solid">
        <fgColor rgb="FFE5DED3"/>
        <bgColor rgb="FFFFCC99"/>
      </patternFill>
    </fill>
  </fills>
  <borders count="2">
    <border>
      <left/>
      <right/>
      <top/>
      <bottom/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4" fillId="4" borderId="0" xfId="0" applyFont="1" applyFill="1"/>
    <xf numFmtId="0" fontId="0" fillId="0" borderId="1" xfId="0" applyBorder="1" applyAlignment="1">
      <alignment horizontal="left" vertical="top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A7F70"/>
      <rgbColor rgb="FF9999FF"/>
      <rgbColor rgb="FFA03A3A"/>
      <rgbColor rgb="FFFFFFCC"/>
      <rgbColor rgb="FFCCFFFF"/>
      <rgbColor rgb="FF660066"/>
      <rgbColor rgb="FFFF8080"/>
      <rgbColor rgb="FF0066CC"/>
      <rgbColor rgb="FFE5DE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6B4F"/>
      <rgbColor rgb="FF9C7559"/>
      <rgbColor rgb="FF003366"/>
      <rgbColor rgb="FF339966"/>
      <rgbColor rgb="FF003300"/>
      <rgbColor rgb="FF333300"/>
      <rgbColor rgb="FF993300"/>
      <rgbColor rgb="FF993366"/>
      <rgbColor rgb="FF333399"/>
      <rgbColor rgb="FF1F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tabSelected="1" zoomScaleNormal="1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J7" sqref="J7"/>
    </sheetView>
  </sheetViews>
  <sheetFormatPr defaultColWidth="8.6328125" defaultRowHeight="14.5" x14ac:dyDescent="0.35"/>
  <cols>
    <col min="1" max="1" width="26" customWidth="1"/>
    <col min="2" max="2" width="12" customWidth="1"/>
    <col min="3" max="16" width="16" customWidth="1"/>
    <col min="17" max="17" width="14" customWidth="1"/>
    <col min="18" max="18" width="18" customWidth="1"/>
  </cols>
  <sheetData>
    <row r="1" spans="1:19" ht="25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6" customHeight="1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4" t="s">
        <v>18</v>
      </c>
    </row>
    <row r="3" spans="1:19" x14ac:dyDescent="0.35">
      <c r="A3" s="5" t="s">
        <v>19</v>
      </c>
      <c r="B3" s="6" t="s">
        <v>20</v>
      </c>
      <c r="C3" s="7">
        <v>4</v>
      </c>
      <c r="D3" s="7">
        <v>3</v>
      </c>
      <c r="E3" s="7">
        <v>4</v>
      </c>
      <c r="F3" s="7">
        <v>1</v>
      </c>
      <c r="G3" s="7">
        <v>3</v>
      </c>
      <c r="H3" s="7">
        <v>3</v>
      </c>
      <c r="I3" s="7">
        <v>3</v>
      </c>
      <c r="J3" s="7">
        <v>2</v>
      </c>
      <c r="K3" s="7">
        <v>3</v>
      </c>
      <c r="L3" s="7">
        <v>3</v>
      </c>
      <c r="M3" s="7">
        <v>4</v>
      </c>
      <c r="N3" s="7">
        <v>2</v>
      </c>
      <c r="O3" s="7">
        <v>3</v>
      </c>
      <c r="P3" s="7">
        <v>2</v>
      </c>
      <c r="Q3" s="8">
        <f>((C3-1)+(E3-1)+(G3-1)+(I3-1)+(K3-1)+(5-D3)+(5-F3)+(5-H3)+(5-J3)+(5-L3))*2.5</f>
        <v>62.5</v>
      </c>
      <c r="R3" s="8">
        <f>AVERAGE(M3:P3)</f>
        <v>2.75</v>
      </c>
    </row>
    <row r="4" spans="1:19" x14ac:dyDescent="0.35">
      <c r="A4" s="5" t="s">
        <v>21</v>
      </c>
      <c r="B4" s="6" t="s">
        <v>22</v>
      </c>
      <c r="C4" s="7">
        <v>3</v>
      </c>
      <c r="D4" s="7">
        <v>2</v>
      </c>
      <c r="E4" s="7">
        <v>4</v>
      </c>
      <c r="F4" s="7">
        <v>1</v>
      </c>
      <c r="G4" s="7">
        <v>3</v>
      </c>
      <c r="H4" s="7">
        <v>4</v>
      </c>
      <c r="I4" s="7">
        <v>4</v>
      </c>
      <c r="J4" s="7">
        <v>2</v>
      </c>
      <c r="K4" s="7">
        <v>4</v>
      </c>
      <c r="L4" s="7">
        <v>3</v>
      </c>
      <c r="M4" s="7">
        <v>4</v>
      </c>
      <c r="N4" s="7">
        <v>4</v>
      </c>
      <c r="O4" s="7">
        <v>4</v>
      </c>
      <c r="P4" s="7">
        <v>2</v>
      </c>
      <c r="Q4" s="8">
        <f>((C4-1)+(E4-1)+(G4-1)+(I4-1)+(K4-1)+(5-D4)+(5-F4)+(5-H4)+(5-J4)+(5-L4))*2.5</f>
        <v>65</v>
      </c>
      <c r="R4" s="8">
        <f>AVERAGE(M4:P4)</f>
        <v>3.5</v>
      </c>
    </row>
    <row r="5" spans="1:19" x14ac:dyDescent="0.35">
      <c r="A5" s="5" t="s">
        <v>23</v>
      </c>
      <c r="B5" s="6" t="s">
        <v>22</v>
      </c>
      <c r="C5" s="7">
        <v>4</v>
      </c>
      <c r="D5" s="7">
        <v>1</v>
      </c>
      <c r="E5" s="7">
        <v>5</v>
      </c>
      <c r="F5" s="7">
        <v>1</v>
      </c>
      <c r="G5" s="7">
        <v>4</v>
      </c>
      <c r="H5" s="7">
        <v>1</v>
      </c>
      <c r="I5" s="7">
        <v>5</v>
      </c>
      <c r="J5" s="7">
        <v>1</v>
      </c>
      <c r="K5" s="7">
        <v>5</v>
      </c>
      <c r="L5" s="7">
        <v>2</v>
      </c>
      <c r="M5" s="7">
        <v>5</v>
      </c>
      <c r="N5" s="7">
        <v>5</v>
      </c>
      <c r="O5" s="7">
        <v>5</v>
      </c>
      <c r="P5" s="7">
        <v>4</v>
      </c>
      <c r="Q5" s="8">
        <f>((C5-1)+(E5-1)+(G5-1)+(I5-1)+(K5-1)+(5-D5)+(5-F5)+(5-H5)+(5-J5)+(5-L5))*2.5</f>
        <v>92.5</v>
      </c>
      <c r="R5" s="8">
        <f>AVERAGE(M5:P5)</f>
        <v>4.75</v>
      </c>
    </row>
    <row r="6" spans="1:19" x14ac:dyDescent="0.35">
      <c r="A6" s="5" t="s">
        <v>24</v>
      </c>
      <c r="B6" s="6" t="s">
        <v>25</v>
      </c>
      <c r="C6" s="7">
        <v>3</v>
      </c>
      <c r="D6" s="7">
        <v>4</v>
      </c>
      <c r="E6" s="7">
        <v>3</v>
      </c>
      <c r="F6" s="7">
        <v>2</v>
      </c>
      <c r="G6" s="7">
        <v>2</v>
      </c>
      <c r="H6" s="7">
        <v>4</v>
      </c>
      <c r="I6" s="7">
        <v>2</v>
      </c>
      <c r="J6" s="7">
        <v>3</v>
      </c>
      <c r="K6" s="7">
        <v>3</v>
      </c>
      <c r="L6" s="7">
        <v>3</v>
      </c>
      <c r="M6" s="7">
        <v>3</v>
      </c>
      <c r="N6" s="7">
        <v>2</v>
      </c>
      <c r="O6" s="7">
        <v>3</v>
      </c>
      <c r="P6" s="7">
        <v>2</v>
      </c>
      <c r="Q6" s="8">
        <f>((C6-1)+(E6-1)+(G6-1)+(I6-1)+(K6-1)+(5-D6)+(5-F6)+(5-H6)+(5-J6)+(5-L6))*2.5</f>
        <v>42.5</v>
      </c>
      <c r="R6" s="8">
        <f>AVERAGE(M6:P6)</f>
        <v>2.5</v>
      </c>
    </row>
    <row r="7" spans="1:19" x14ac:dyDescent="0.35">
      <c r="A7" s="5" t="s">
        <v>26</v>
      </c>
      <c r="B7" s="6" t="s">
        <v>27</v>
      </c>
      <c r="C7" s="7">
        <v>3</v>
      </c>
      <c r="D7" s="7">
        <v>4</v>
      </c>
      <c r="E7" s="7">
        <v>2</v>
      </c>
      <c r="F7" s="7">
        <v>4</v>
      </c>
      <c r="G7" s="7">
        <v>2</v>
      </c>
      <c r="H7" s="7">
        <v>3</v>
      </c>
      <c r="I7" s="7">
        <v>2</v>
      </c>
      <c r="J7" s="7">
        <v>3</v>
      </c>
      <c r="K7" s="7">
        <v>2</v>
      </c>
      <c r="L7" s="7">
        <v>4</v>
      </c>
      <c r="M7" s="7">
        <v>3</v>
      </c>
      <c r="N7" s="7">
        <v>2</v>
      </c>
      <c r="O7" s="7">
        <v>3</v>
      </c>
      <c r="P7" s="7">
        <v>3</v>
      </c>
      <c r="Q7" s="8">
        <f>((C7-1)+(E7-1)+(G7-1)+(I7-1)+(K7-1)+(5-D7)+(5-F7)+(5-H7)+(5-J7)+(5-L7))*2.5</f>
        <v>32.5</v>
      </c>
      <c r="R7" s="8">
        <f>AVERAGE(M7:P7)</f>
        <v>2.75</v>
      </c>
    </row>
    <row r="8" spans="1:19" x14ac:dyDescent="0.35">
      <c r="A8" s="9" t="s">
        <v>28</v>
      </c>
      <c r="B8" s="10"/>
      <c r="C8" s="11">
        <f t="shared" ref="C8:R8" si="0">AVERAGE(C3:C7)</f>
        <v>3.4</v>
      </c>
      <c r="D8" s="11">
        <f t="shared" si="0"/>
        <v>2.8</v>
      </c>
      <c r="E8" s="11">
        <f t="shared" si="0"/>
        <v>3.6</v>
      </c>
      <c r="F8" s="11">
        <f t="shared" si="0"/>
        <v>1.8</v>
      </c>
      <c r="G8" s="11">
        <f t="shared" si="0"/>
        <v>2.8</v>
      </c>
      <c r="H8" s="11">
        <f t="shared" si="0"/>
        <v>3</v>
      </c>
      <c r="I8" s="11">
        <f t="shared" si="0"/>
        <v>3.2</v>
      </c>
      <c r="J8" s="11">
        <f t="shared" si="0"/>
        <v>2.2000000000000002</v>
      </c>
      <c r="K8" s="11">
        <f t="shared" si="0"/>
        <v>3.4</v>
      </c>
      <c r="L8" s="11">
        <f t="shared" si="0"/>
        <v>3</v>
      </c>
      <c r="M8" s="11">
        <f t="shared" si="0"/>
        <v>3.8</v>
      </c>
      <c r="N8" s="11">
        <f t="shared" si="0"/>
        <v>3</v>
      </c>
      <c r="O8" s="11">
        <f t="shared" si="0"/>
        <v>3.6</v>
      </c>
      <c r="P8" s="11">
        <f t="shared" si="0"/>
        <v>2.6</v>
      </c>
      <c r="Q8" s="12">
        <f t="shared" si="0"/>
        <v>59</v>
      </c>
      <c r="R8" s="12">
        <f t="shared" si="0"/>
        <v>3.25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8" customWidth="1"/>
    <col min="3" max="3" width="46" customWidth="1"/>
    <col min="4" max="4" width="12" customWidth="1"/>
    <col min="5" max="5" width="78" customWidth="1"/>
  </cols>
  <sheetData>
    <row r="1" spans="1:5" ht="19.5" customHeight="1" x14ac:dyDescent="0.35">
      <c r="A1" s="3" t="s">
        <v>1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 ht="51" customHeight="1" x14ac:dyDescent="0.35">
      <c r="A2" s="13" t="s">
        <v>19</v>
      </c>
      <c r="B2" s="14" t="s">
        <v>33</v>
      </c>
      <c r="C2" s="13" t="s">
        <v>34</v>
      </c>
      <c r="D2" s="15">
        <v>4</v>
      </c>
      <c r="E2" s="13" t="s">
        <v>35</v>
      </c>
    </row>
    <row r="3" spans="1:5" ht="51" customHeight="1" x14ac:dyDescent="0.35">
      <c r="A3" s="13" t="s">
        <v>19</v>
      </c>
      <c r="B3" s="14" t="s">
        <v>36</v>
      </c>
      <c r="C3" s="13" t="s">
        <v>37</v>
      </c>
      <c r="D3" s="16">
        <v>3</v>
      </c>
      <c r="E3" s="13" t="s">
        <v>38</v>
      </c>
    </row>
    <row r="4" spans="1:5" ht="36" customHeight="1" x14ac:dyDescent="0.35">
      <c r="A4" s="13" t="s">
        <v>19</v>
      </c>
      <c r="B4" s="14" t="s">
        <v>39</v>
      </c>
      <c r="C4" s="13" t="s">
        <v>40</v>
      </c>
      <c r="D4" s="15">
        <v>4</v>
      </c>
      <c r="E4" s="13" t="s">
        <v>41</v>
      </c>
    </row>
    <row r="5" spans="1:5" ht="36" customHeight="1" x14ac:dyDescent="0.35">
      <c r="A5" s="13" t="s">
        <v>19</v>
      </c>
      <c r="B5" s="14" t="s">
        <v>42</v>
      </c>
      <c r="C5" s="13" t="s">
        <v>43</v>
      </c>
      <c r="D5" s="17">
        <v>1</v>
      </c>
      <c r="E5" s="13" t="s">
        <v>44</v>
      </c>
    </row>
    <row r="6" spans="1:5" ht="36" customHeight="1" x14ac:dyDescent="0.35">
      <c r="A6" s="13" t="s">
        <v>19</v>
      </c>
      <c r="B6" s="14" t="s">
        <v>45</v>
      </c>
      <c r="C6" s="13" t="s">
        <v>46</v>
      </c>
      <c r="D6" s="16">
        <v>3</v>
      </c>
      <c r="E6" s="13" t="s">
        <v>47</v>
      </c>
    </row>
    <row r="7" spans="1:5" ht="36" customHeight="1" x14ac:dyDescent="0.35">
      <c r="A7" s="13" t="s">
        <v>19</v>
      </c>
      <c r="B7" s="14" t="s">
        <v>48</v>
      </c>
      <c r="C7" s="13" t="s">
        <v>49</v>
      </c>
      <c r="D7" s="16">
        <v>3</v>
      </c>
      <c r="E7" s="13" t="s">
        <v>50</v>
      </c>
    </row>
    <row r="8" spans="1:5" ht="36" customHeight="1" x14ac:dyDescent="0.35">
      <c r="A8" s="13" t="s">
        <v>19</v>
      </c>
      <c r="B8" s="14" t="s">
        <v>51</v>
      </c>
      <c r="C8" s="13" t="s">
        <v>52</v>
      </c>
      <c r="D8" s="16">
        <v>3</v>
      </c>
      <c r="E8" s="13" t="s">
        <v>53</v>
      </c>
    </row>
    <row r="9" spans="1:5" ht="36" customHeight="1" x14ac:dyDescent="0.35">
      <c r="A9" s="13" t="s">
        <v>19</v>
      </c>
      <c r="B9" s="14" t="s">
        <v>54</v>
      </c>
      <c r="C9" s="13" t="s">
        <v>55</v>
      </c>
      <c r="D9" s="17">
        <v>2</v>
      </c>
      <c r="E9" s="13" t="s">
        <v>56</v>
      </c>
    </row>
    <row r="10" spans="1:5" ht="36" customHeight="1" x14ac:dyDescent="0.35">
      <c r="A10" s="13" t="s">
        <v>19</v>
      </c>
      <c r="B10" s="14" t="s">
        <v>57</v>
      </c>
      <c r="C10" s="13" t="s">
        <v>58</v>
      </c>
      <c r="D10" s="16">
        <v>3</v>
      </c>
      <c r="E10" s="13" t="s">
        <v>59</v>
      </c>
    </row>
    <row r="11" spans="1:5" ht="36" customHeight="1" x14ac:dyDescent="0.35">
      <c r="A11" s="13" t="s">
        <v>19</v>
      </c>
      <c r="B11" s="14" t="s">
        <v>60</v>
      </c>
      <c r="C11" s="13" t="s">
        <v>61</v>
      </c>
      <c r="D11" s="16">
        <v>3</v>
      </c>
      <c r="E11" s="13" t="s">
        <v>62</v>
      </c>
    </row>
    <row r="12" spans="1:5" ht="36" customHeight="1" x14ac:dyDescent="0.35">
      <c r="A12" s="18" t="s">
        <v>19</v>
      </c>
      <c r="B12" s="19" t="s">
        <v>63</v>
      </c>
      <c r="C12" s="18" t="s">
        <v>64</v>
      </c>
      <c r="D12" s="20">
        <v>4</v>
      </c>
      <c r="E12" s="18" t="s">
        <v>65</v>
      </c>
    </row>
    <row r="13" spans="1:5" ht="36" customHeight="1" x14ac:dyDescent="0.35">
      <c r="A13" s="18" t="s">
        <v>19</v>
      </c>
      <c r="B13" s="19" t="s">
        <v>66</v>
      </c>
      <c r="C13" s="18" t="s">
        <v>67</v>
      </c>
      <c r="D13" s="21">
        <v>2</v>
      </c>
      <c r="E13" s="18" t="s">
        <v>68</v>
      </c>
    </row>
    <row r="14" spans="1:5" ht="51" customHeight="1" x14ac:dyDescent="0.35">
      <c r="A14" s="18" t="s">
        <v>19</v>
      </c>
      <c r="B14" s="19" t="s">
        <v>69</v>
      </c>
      <c r="C14" s="18" t="s">
        <v>70</v>
      </c>
      <c r="D14" s="22">
        <v>3</v>
      </c>
      <c r="E14" s="18" t="s">
        <v>71</v>
      </c>
    </row>
    <row r="15" spans="1:5" ht="36" customHeight="1" x14ac:dyDescent="0.35">
      <c r="A15" s="18" t="s">
        <v>19</v>
      </c>
      <c r="B15" s="19" t="s">
        <v>72</v>
      </c>
      <c r="C15" s="18" t="s">
        <v>73</v>
      </c>
      <c r="D15" s="21">
        <v>2</v>
      </c>
      <c r="E15" s="18" t="s">
        <v>74</v>
      </c>
    </row>
    <row r="16" spans="1:5" ht="36" customHeight="1" x14ac:dyDescent="0.35">
      <c r="A16" s="13" t="s">
        <v>21</v>
      </c>
      <c r="B16" s="14" t="s">
        <v>33</v>
      </c>
      <c r="C16" s="13" t="s">
        <v>34</v>
      </c>
      <c r="D16" s="16">
        <v>3</v>
      </c>
      <c r="E16" s="13" t="s">
        <v>75</v>
      </c>
    </row>
    <row r="17" spans="1:5" ht="36" customHeight="1" x14ac:dyDescent="0.35">
      <c r="A17" s="13" t="s">
        <v>21</v>
      </c>
      <c r="B17" s="14" t="s">
        <v>36</v>
      </c>
      <c r="C17" s="13" t="s">
        <v>37</v>
      </c>
      <c r="D17" s="17">
        <v>2</v>
      </c>
      <c r="E17" s="13" t="s">
        <v>76</v>
      </c>
    </row>
    <row r="18" spans="1:5" ht="24" customHeight="1" x14ac:dyDescent="0.35">
      <c r="A18" s="13" t="s">
        <v>21</v>
      </c>
      <c r="B18" s="14" t="s">
        <v>39</v>
      </c>
      <c r="C18" s="13" t="s">
        <v>40</v>
      </c>
      <c r="D18" s="15">
        <v>4</v>
      </c>
      <c r="E18" s="13" t="s">
        <v>77</v>
      </c>
    </row>
    <row r="19" spans="1:5" ht="36" customHeight="1" x14ac:dyDescent="0.35">
      <c r="A19" s="13" t="s">
        <v>21</v>
      </c>
      <c r="B19" s="14" t="s">
        <v>42</v>
      </c>
      <c r="C19" s="13" t="s">
        <v>43</v>
      </c>
      <c r="D19" s="17">
        <v>1</v>
      </c>
      <c r="E19" s="13" t="s">
        <v>78</v>
      </c>
    </row>
    <row r="20" spans="1:5" ht="36" customHeight="1" x14ac:dyDescent="0.35">
      <c r="A20" s="13" t="s">
        <v>21</v>
      </c>
      <c r="B20" s="14" t="s">
        <v>45</v>
      </c>
      <c r="C20" s="13" t="s">
        <v>46</v>
      </c>
      <c r="D20" s="16">
        <v>3</v>
      </c>
      <c r="E20" s="13" t="s">
        <v>79</v>
      </c>
    </row>
    <row r="21" spans="1:5" ht="36" customHeight="1" x14ac:dyDescent="0.35">
      <c r="A21" s="13" t="s">
        <v>21</v>
      </c>
      <c r="B21" s="14" t="s">
        <v>48</v>
      </c>
      <c r="C21" s="13" t="s">
        <v>49</v>
      </c>
      <c r="D21" s="15">
        <v>4</v>
      </c>
      <c r="E21" s="13" t="s">
        <v>80</v>
      </c>
    </row>
    <row r="22" spans="1:5" ht="36" customHeight="1" x14ac:dyDescent="0.35">
      <c r="A22" s="13" t="s">
        <v>21</v>
      </c>
      <c r="B22" s="14" t="s">
        <v>51</v>
      </c>
      <c r="C22" s="13" t="s">
        <v>52</v>
      </c>
      <c r="D22" s="15">
        <v>4</v>
      </c>
      <c r="E22" s="13" t="s">
        <v>81</v>
      </c>
    </row>
    <row r="23" spans="1:5" ht="24" customHeight="1" x14ac:dyDescent="0.35">
      <c r="A23" s="13" t="s">
        <v>21</v>
      </c>
      <c r="B23" s="14" t="s">
        <v>54</v>
      </c>
      <c r="C23" s="13" t="s">
        <v>55</v>
      </c>
      <c r="D23" s="17">
        <v>2</v>
      </c>
      <c r="E23" s="13" t="s">
        <v>82</v>
      </c>
    </row>
    <row r="24" spans="1:5" ht="36" customHeight="1" x14ac:dyDescent="0.35">
      <c r="A24" s="13" t="s">
        <v>21</v>
      </c>
      <c r="B24" s="14" t="s">
        <v>57</v>
      </c>
      <c r="C24" s="13" t="s">
        <v>58</v>
      </c>
      <c r="D24" s="15">
        <v>4</v>
      </c>
      <c r="E24" s="13" t="s">
        <v>83</v>
      </c>
    </row>
    <row r="25" spans="1:5" ht="36" customHeight="1" x14ac:dyDescent="0.35">
      <c r="A25" s="13" t="s">
        <v>21</v>
      </c>
      <c r="B25" s="14" t="s">
        <v>60</v>
      </c>
      <c r="C25" s="13" t="s">
        <v>61</v>
      </c>
      <c r="D25" s="16">
        <v>3</v>
      </c>
      <c r="E25" s="13" t="s">
        <v>84</v>
      </c>
    </row>
    <row r="26" spans="1:5" ht="36" customHeight="1" x14ac:dyDescent="0.35">
      <c r="A26" s="18" t="s">
        <v>21</v>
      </c>
      <c r="B26" s="19" t="s">
        <v>63</v>
      </c>
      <c r="C26" s="18" t="s">
        <v>64</v>
      </c>
      <c r="D26" s="20">
        <v>4</v>
      </c>
      <c r="E26" s="18" t="s">
        <v>85</v>
      </c>
    </row>
    <row r="27" spans="1:5" ht="36" customHeight="1" x14ac:dyDescent="0.35">
      <c r="A27" s="18" t="s">
        <v>21</v>
      </c>
      <c r="B27" s="19" t="s">
        <v>66</v>
      </c>
      <c r="C27" s="18" t="s">
        <v>67</v>
      </c>
      <c r="D27" s="20">
        <v>4</v>
      </c>
      <c r="E27" s="18" t="s">
        <v>86</v>
      </c>
    </row>
    <row r="28" spans="1:5" ht="36" customHeight="1" x14ac:dyDescent="0.35">
      <c r="A28" s="18" t="s">
        <v>21</v>
      </c>
      <c r="B28" s="19" t="s">
        <v>69</v>
      </c>
      <c r="C28" s="18" t="s">
        <v>70</v>
      </c>
      <c r="D28" s="20">
        <v>4</v>
      </c>
      <c r="E28" s="18" t="s">
        <v>87</v>
      </c>
    </row>
    <row r="29" spans="1:5" ht="51" customHeight="1" x14ac:dyDescent="0.35">
      <c r="A29" s="18" t="s">
        <v>21</v>
      </c>
      <c r="B29" s="19" t="s">
        <v>72</v>
      </c>
      <c r="C29" s="18" t="s">
        <v>73</v>
      </c>
      <c r="D29" s="21">
        <v>2</v>
      </c>
      <c r="E29" s="18" t="s">
        <v>88</v>
      </c>
    </row>
    <row r="30" spans="1:5" ht="36" customHeight="1" x14ac:dyDescent="0.35">
      <c r="A30" s="13" t="s">
        <v>23</v>
      </c>
      <c r="B30" s="14" t="s">
        <v>33</v>
      </c>
      <c r="C30" s="13" t="s">
        <v>34</v>
      </c>
      <c r="D30" s="15">
        <v>4</v>
      </c>
      <c r="E30" s="13" t="s">
        <v>89</v>
      </c>
    </row>
    <row r="31" spans="1:5" ht="24" customHeight="1" x14ac:dyDescent="0.35">
      <c r="A31" s="13" t="s">
        <v>23</v>
      </c>
      <c r="B31" s="14" t="s">
        <v>36</v>
      </c>
      <c r="C31" s="13" t="s">
        <v>37</v>
      </c>
      <c r="D31" s="17">
        <v>1</v>
      </c>
      <c r="E31" s="13" t="s">
        <v>90</v>
      </c>
    </row>
    <row r="32" spans="1:5" ht="36" customHeight="1" x14ac:dyDescent="0.35">
      <c r="A32" s="13" t="s">
        <v>23</v>
      </c>
      <c r="B32" s="14" t="s">
        <v>39</v>
      </c>
      <c r="C32" s="13" t="s">
        <v>40</v>
      </c>
      <c r="D32" s="15">
        <v>5</v>
      </c>
      <c r="E32" s="13" t="s">
        <v>91</v>
      </c>
    </row>
    <row r="33" spans="1:5" ht="36" customHeight="1" x14ac:dyDescent="0.35">
      <c r="A33" s="13" t="s">
        <v>23</v>
      </c>
      <c r="B33" s="14" t="s">
        <v>42</v>
      </c>
      <c r="C33" s="13" t="s">
        <v>43</v>
      </c>
      <c r="D33" s="17">
        <v>1</v>
      </c>
      <c r="E33" s="13" t="s">
        <v>92</v>
      </c>
    </row>
    <row r="34" spans="1:5" ht="36" customHeight="1" x14ac:dyDescent="0.35">
      <c r="A34" s="13" t="s">
        <v>23</v>
      </c>
      <c r="B34" s="14" t="s">
        <v>45</v>
      </c>
      <c r="C34" s="13" t="s">
        <v>46</v>
      </c>
      <c r="D34" s="15">
        <v>4</v>
      </c>
      <c r="E34" s="13" t="s">
        <v>93</v>
      </c>
    </row>
    <row r="35" spans="1:5" ht="51" customHeight="1" x14ac:dyDescent="0.35">
      <c r="A35" s="13" t="s">
        <v>23</v>
      </c>
      <c r="B35" s="14" t="s">
        <v>48</v>
      </c>
      <c r="C35" s="13" t="s">
        <v>49</v>
      </c>
      <c r="D35" s="17">
        <v>1</v>
      </c>
      <c r="E35" s="13" t="s">
        <v>94</v>
      </c>
    </row>
    <row r="36" spans="1:5" ht="36" customHeight="1" x14ac:dyDescent="0.35">
      <c r="A36" s="13" t="s">
        <v>23</v>
      </c>
      <c r="B36" s="14" t="s">
        <v>51</v>
      </c>
      <c r="C36" s="13" t="s">
        <v>52</v>
      </c>
      <c r="D36" s="15">
        <v>5</v>
      </c>
      <c r="E36" s="13" t="s">
        <v>95</v>
      </c>
    </row>
    <row r="37" spans="1:5" ht="36" customHeight="1" x14ac:dyDescent="0.35">
      <c r="A37" s="13" t="s">
        <v>23</v>
      </c>
      <c r="B37" s="14" t="s">
        <v>54</v>
      </c>
      <c r="C37" s="13" t="s">
        <v>55</v>
      </c>
      <c r="D37" s="17">
        <v>1</v>
      </c>
      <c r="E37" s="13" t="s">
        <v>96</v>
      </c>
    </row>
    <row r="38" spans="1:5" ht="36" customHeight="1" x14ac:dyDescent="0.35">
      <c r="A38" s="13" t="s">
        <v>23</v>
      </c>
      <c r="B38" s="14" t="s">
        <v>57</v>
      </c>
      <c r="C38" s="13" t="s">
        <v>58</v>
      </c>
      <c r="D38" s="15">
        <v>5</v>
      </c>
      <c r="E38" s="13" t="s">
        <v>97</v>
      </c>
    </row>
    <row r="39" spans="1:5" ht="36" customHeight="1" x14ac:dyDescent="0.35">
      <c r="A39" s="13" t="s">
        <v>23</v>
      </c>
      <c r="B39" s="14" t="s">
        <v>60</v>
      </c>
      <c r="C39" s="13" t="s">
        <v>61</v>
      </c>
      <c r="D39" s="17">
        <v>2</v>
      </c>
      <c r="E39" s="13" t="s">
        <v>98</v>
      </c>
    </row>
    <row r="40" spans="1:5" ht="36" customHeight="1" x14ac:dyDescent="0.35">
      <c r="A40" s="18" t="s">
        <v>23</v>
      </c>
      <c r="B40" s="19" t="s">
        <v>63</v>
      </c>
      <c r="C40" s="18" t="s">
        <v>64</v>
      </c>
      <c r="D40" s="20">
        <v>5</v>
      </c>
      <c r="E40" s="18" t="s">
        <v>99</v>
      </c>
    </row>
    <row r="41" spans="1:5" ht="36" customHeight="1" x14ac:dyDescent="0.35">
      <c r="A41" s="18" t="s">
        <v>23</v>
      </c>
      <c r="B41" s="19" t="s">
        <v>66</v>
      </c>
      <c r="C41" s="18" t="s">
        <v>67</v>
      </c>
      <c r="D41" s="20">
        <v>5</v>
      </c>
      <c r="E41" s="18" t="s">
        <v>100</v>
      </c>
    </row>
    <row r="42" spans="1:5" ht="36" customHeight="1" x14ac:dyDescent="0.35">
      <c r="A42" s="18" t="s">
        <v>23</v>
      </c>
      <c r="B42" s="19" t="s">
        <v>69</v>
      </c>
      <c r="C42" s="18" t="s">
        <v>70</v>
      </c>
      <c r="D42" s="20">
        <v>5</v>
      </c>
      <c r="E42" s="18" t="s">
        <v>101</v>
      </c>
    </row>
    <row r="43" spans="1:5" ht="36" customHeight="1" x14ac:dyDescent="0.35">
      <c r="A43" s="18" t="s">
        <v>23</v>
      </c>
      <c r="B43" s="19" t="s">
        <v>72</v>
      </c>
      <c r="C43" s="18" t="s">
        <v>73</v>
      </c>
      <c r="D43" s="20">
        <v>4</v>
      </c>
      <c r="E43" s="18" t="s">
        <v>102</v>
      </c>
    </row>
    <row r="44" spans="1:5" ht="36" customHeight="1" x14ac:dyDescent="0.35">
      <c r="A44" s="13" t="s">
        <v>24</v>
      </c>
      <c r="B44" s="14" t="s">
        <v>33</v>
      </c>
      <c r="C44" s="13" t="s">
        <v>34</v>
      </c>
      <c r="D44" s="16">
        <v>3</v>
      </c>
      <c r="E44" s="13" t="s">
        <v>103</v>
      </c>
    </row>
    <row r="45" spans="1:5" ht="36" customHeight="1" x14ac:dyDescent="0.35">
      <c r="A45" s="13" t="s">
        <v>24</v>
      </c>
      <c r="B45" s="14" t="s">
        <v>36</v>
      </c>
      <c r="C45" s="13" t="s">
        <v>37</v>
      </c>
      <c r="D45" s="15">
        <v>4</v>
      </c>
      <c r="E45" s="13" t="s">
        <v>104</v>
      </c>
    </row>
    <row r="46" spans="1:5" ht="36" customHeight="1" x14ac:dyDescent="0.35">
      <c r="A46" s="13" t="s">
        <v>24</v>
      </c>
      <c r="B46" s="14" t="s">
        <v>39</v>
      </c>
      <c r="C46" s="13" t="s">
        <v>40</v>
      </c>
      <c r="D46" s="16">
        <v>3</v>
      </c>
      <c r="E46" s="13" t="s">
        <v>105</v>
      </c>
    </row>
    <row r="47" spans="1:5" ht="36" customHeight="1" x14ac:dyDescent="0.35">
      <c r="A47" s="13" t="s">
        <v>24</v>
      </c>
      <c r="B47" s="14" t="s">
        <v>42</v>
      </c>
      <c r="C47" s="13" t="s">
        <v>43</v>
      </c>
      <c r="D47" s="17">
        <v>2</v>
      </c>
      <c r="E47" s="13" t="s">
        <v>106</v>
      </c>
    </row>
    <row r="48" spans="1:5" ht="36" customHeight="1" x14ac:dyDescent="0.35">
      <c r="A48" s="13" t="s">
        <v>24</v>
      </c>
      <c r="B48" s="14" t="s">
        <v>45</v>
      </c>
      <c r="C48" s="13" t="s">
        <v>46</v>
      </c>
      <c r="D48" s="17">
        <v>2</v>
      </c>
      <c r="E48" s="13" t="s">
        <v>107</v>
      </c>
    </row>
    <row r="49" spans="1:5" ht="36" customHeight="1" x14ac:dyDescent="0.35">
      <c r="A49" s="13" t="s">
        <v>24</v>
      </c>
      <c r="B49" s="14" t="s">
        <v>48</v>
      </c>
      <c r="C49" s="13" t="s">
        <v>49</v>
      </c>
      <c r="D49" s="15">
        <v>4</v>
      </c>
      <c r="E49" s="13" t="s">
        <v>108</v>
      </c>
    </row>
    <row r="50" spans="1:5" ht="51" customHeight="1" x14ac:dyDescent="0.35">
      <c r="A50" s="13" t="s">
        <v>24</v>
      </c>
      <c r="B50" s="14" t="s">
        <v>51</v>
      </c>
      <c r="C50" s="13" t="s">
        <v>52</v>
      </c>
      <c r="D50" s="17">
        <v>2</v>
      </c>
      <c r="E50" s="13" t="s">
        <v>109</v>
      </c>
    </row>
    <row r="51" spans="1:5" ht="36" customHeight="1" x14ac:dyDescent="0.35">
      <c r="A51" s="13" t="s">
        <v>24</v>
      </c>
      <c r="B51" s="14" t="s">
        <v>54</v>
      </c>
      <c r="C51" s="13" t="s">
        <v>55</v>
      </c>
      <c r="D51" s="16">
        <v>3</v>
      </c>
      <c r="E51" s="13" t="s">
        <v>110</v>
      </c>
    </row>
    <row r="52" spans="1:5" ht="36" customHeight="1" x14ac:dyDescent="0.35">
      <c r="A52" s="13" t="s">
        <v>24</v>
      </c>
      <c r="B52" s="14" t="s">
        <v>57</v>
      </c>
      <c r="C52" s="13" t="s">
        <v>58</v>
      </c>
      <c r="D52" s="16">
        <v>3</v>
      </c>
      <c r="E52" s="13" t="s">
        <v>111</v>
      </c>
    </row>
    <row r="53" spans="1:5" ht="36" customHeight="1" x14ac:dyDescent="0.35">
      <c r="A53" s="13" t="s">
        <v>24</v>
      </c>
      <c r="B53" s="14" t="s">
        <v>60</v>
      </c>
      <c r="C53" s="13" t="s">
        <v>61</v>
      </c>
      <c r="D53" s="16">
        <v>3</v>
      </c>
      <c r="E53" s="13" t="s">
        <v>112</v>
      </c>
    </row>
    <row r="54" spans="1:5" ht="36" customHeight="1" x14ac:dyDescent="0.35">
      <c r="A54" s="18" t="s">
        <v>24</v>
      </c>
      <c r="B54" s="19" t="s">
        <v>63</v>
      </c>
      <c r="C54" s="18" t="s">
        <v>64</v>
      </c>
      <c r="D54" s="22">
        <v>3</v>
      </c>
      <c r="E54" s="18" t="s">
        <v>113</v>
      </c>
    </row>
    <row r="55" spans="1:5" ht="36" customHeight="1" x14ac:dyDescent="0.35">
      <c r="A55" s="18" t="s">
        <v>24</v>
      </c>
      <c r="B55" s="19" t="s">
        <v>66</v>
      </c>
      <c r="C55" s="18" t="s">
        <v>67</v>
      </c>
      <c r="D55" s="21">
        <v>2</v>
      </c>
      <c r="E55" s="18" t="s">
        <v>114</v>
      </c>
    </row>
    <row r="56" spans="1:5" ht="36" customHeight="1" x14ac:dyDescent="0.35">
      <c r="A56" s="18" t="s">
        <v>24</v>
      </c>
      <c r="B56" s="19" t="s">
        <v>69</v>
      </c>
      <c r="C56" s="18" t="s">
        <v>70</v>
      </c>
      <c r="D56" s="22">
        <v>3</v>
      </c>
      <c r="E56" s="18" t="s">
        <v>115</v>
      </c>
    </row>
    <row r="57" spans="1:5" ht="36" customHeight="1" x14ac:dyDescent="0.35">
      <c r="A57" s="18" t="s">
        <v>24</v>
      </c>
      <c r="B57" s="19" t="s">
        <v>72</v>
      </c>
      <c r="C57" s="18" t="s">
        <v>73</v>
      </c>
      <c r="D57" s="21">
        <v>2</v>
      </c>
      <c r="E57" s="18" t="s">
        <v>116</v>
      </c>
    </row>
    <row r="58" spans="1:5" ht="36" customHeight="1" x14ac:dyDescent="0.35">
      <c r="A58" s="13" t="s">
        <v>26</v>
      </c>
      <c r="B58" s="14" t="s">
        <v>33</v>
      </c>
      <c r="C58" s="13" t="s">
        <v>34</v>
      </c>
      <c r="D58" s="16">
        <v>3</v>
      </c>
      <c r="E58" s="13" t="s">
        <v>117</v>
      </c>
    </row>
    <row r="59" spans="1:5" ht="36" customHeight="1" x14ac:dyDescent="0.35">
      <c r="A59" s="13" t="s">
        <v>26</v>
      </c>
      <c r="B59" s="14" t="s">
        <v>36</v>
      </c>
      <c r="C59" s="13" t="s">
        <v>37</v>
      </c>
      <c r="D59" s="15">
        <v>4</v>
      </c>
      <c r="E59" s="13" t="s">
        <v>118</v>
      </c>
    </row>
    <row r="60" spans="1:5" ht="36" customHeight="1" x14ac:dyDescent="0.35">
      <c r="A60" s="13" t="s">
        <v>26</v>
      </c>
      <c r="B60" s="14" t="s">
        <v>39</v>
      </c>
      <c r="C60" s="13" t="s">
        <v>40</v>
      </c>
      <c r="D60" s="17">
        <v>2</v>
      </c>
      <c r="E60" s="13" t="s">
        <v>119</v>
      </c>
    </row>
    <row r="61" spans="1:5" ht="36" customHeight="1" x14ac:dyDescent="0.35">
      <c r="A61" s="13" t="s">
        <v>26</v>
      </c>
      <c r="B61" s="14" t="s">
        <v>42</v>
      </c>
      <c r="C61" s="13" t="s">
        <v>43</v>
      </c>
      <c r="D61" s="15">
        <v>4</v>
      </c>
      <c r="E61" s="13" t="s">
        <v>120</v>
      </c>
    </row>
    <row r="62" spans="1:5" ht="36" customHeight="1" x14ac:dyDescent="0.35">
      <c r="A62" s="13" t="s">
        <v>26</v>
      </c>
      <c r="B62" s="14" t="s">
        <v>45</v>
      </c>
      <c r="C62" s="13" t="s">
        <v>46</v>
      </c>
      <c r="D62" s="17">
        <v>2</v>
      </c>
      <c r="E62" s="13" t="s">
        <v>121</v>
      </c>
    </row>
    <row r="63" spans="1:5" ht="51" customHeight="1" x14ac:dyDescent="0.35">
      <c r="A63" s="13" t="s">
        <v>26</v>
      </c>
      <c r="B63" s="14" t="s">
        <v>48</v>
      </c>
      <c r="C63" s="13" t="s">
        <v>49</v>
      </c>
      <c r="D63" s="16">
        <v>3</v>
      </c>
      <c r="E63" s="13" t="s">
        <v>122</v>
      </c>
    </row>
    <row r="64" spans="1:5" ht="36" customHeight="1" x14ac:dyDescent="0.35">
      <c r="A64" s="13" t="s">
        <v>26</v>
      </c>
      <c r="B64" s="14" t="s">
        <v>51</v>
      </c>
      <c r="C64" s="13" t="s">
        <v>52</v>
      </c>
      <c r="D64" s="17">
        <v>2</v>
      </c>
      <c r="E64" s="13" t="s">
        <v>123</v>
      </c>
    </row>
    <row r="65" spans="1:5" ht="24" customHeight="1" x14ac:dyDescent="0.35">
      <c r="A65" s="13" t="s">
        <v>26</v>
      </c>
      <c r="B65" s="14" t="s">
        <v>54</v>
      </c>
      <c r="C65" s="13" t="s">
        <v>55</v>
      </c>
      <c r="D65" s="16">
        <v>3</v>
      </c>
      <c r="E65" s="13" t="s">
        <v>124</v>
      </c>
    </row>
    <row r="66" spans="1:5" ht="36" customHeight="1" x14ac:dyDescent="0.35">
      <c r="A66" s="13" t="s">
        <v>26</v>
      </c>
      <c r="B66" s="14" t="s">
        <v>57</v>
      </c>
      <c r="C66" s="13" t="s">
        <v>58</v>
      </c>
      <c r="D66" s="17">
        <v>2</v>
      </c>
      <c r="E66" s="13" t="s">
        <v>125</v>
      </c>
    </row>
    <row r="67" spans="1:5" ht="36" customHeight="1" x14ac:dyDescent="0.35">
      <c r="A67" s="13" t="s">
        <v>26</v>
      </c>
      <c r="B67" s="14" t="s">
        <v>60</v>
      </c>
      <c r="C67" s="13" t="s">
        <v>61</v>
      </c>
      <c r="D67" s="15">
        <v>4</v>
      </c>
      <c r="E67" s="13" t="s">
        <v>126</v>
      </c>
    </row>
    <row r="68" spans="1:5" ht="36" customHeight="1" x14ac:dyDescent="0.35">
      <c r="A68" s="18" t="s">
        <v>26</v>
      </c>
      <c r="B68" s="19" t="s">
        <v>63</v>
      </c>
      <c r="C68" s="18" t="s">
        <v>64</v>
      </c>
      <c r="D68" s="22">
        <v>3</v>
      </c>
      <c r="E68" s="18" t="s">
        <v>127</v>
      </c>
    </row>
    <row r="69" spans="1:5" ht="36" customHeight="1" x14ac:dyDescent="0.35">
      <c r="A69" s="18" t="s">
        <v>26</v>
      </c>
      <c r="B69" s="19" t="s">
        <v>66</v>
      </c>
      <c r="C69" s="18" t="s">
        <v>67</v>
      </c>
      <c r="D69" s="21">
        <v>2</v>
      </c>
      <c r="E69" s="18" t="s">
        <v>128</v>
      </c>
    </row>
    <row r="70" spans="1:5" ht="36" customHeight="1" x14ac:dyDescent="0.35">
      <c r="A70" s="18" t="s">
        <v>26</v>
      </c>
      <c r="B70" s="19" t="s">
        <v>69</v>
      </c>
      <c r="C70" s="18" t="s">
        <v>70</v>
      </c>
      <c r="D70" s="22">
        <v>3</v>
      </c>
      <c r="E70" s="18" t="s">
        <v>129</v>
      </c>
    </row>
    <row r="71" spans="1:5" ht="36" customHeight="1" x14ac:dyDescent="0.35">
      <c r="A71" s="18" t="s">
        <v>26</v>
      </c>
      <c r="B71" s="19" t="s">
        <v>72</v>
      </c>
      <c r="C71" s="18" t="s">
        <v>73</v>
      </c>
      <c r="D71" s="22">
        <v>3</v>
      </c>
      <c r="E71" s="18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18" customWidth="1"/>
    <col min="4" max="4" width="34" customWidth="1"/>
    <col min="5" max="6" width="16" customWidth="1"/>
    <col min="7" max="7" width="60" customWidth="1"/>
  </cols>
  <sheetData>
    <row r="1" spans="1:7" ht="19.5" customHeight="1" x14ac:dyDescent="0.35">
      <c r="A1" s="3" t="s">
        <v>1</v>
      </c>
      <c r="B1" s="3" t="s">
        <v>2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</row>
    <row r="2" spans="1:7" ht="39.75" customHeight="1" x14ac:dyDescent="0.35">
      <c r="A2" s="23" t="s">
        <v>19</v>
      </c>
      <c r="B2" s="13" t="s">
        <v>20</v>
      </c>
      <c r="C2" s="13" t="s">
        <v>136</v>
      </c>
      <c r="D2" s="13" t="s">
        <v>137</v>
      </c>
      <c r="E2" s="13">
        <v>4</v>
      </c>
      <c r="F2" s="13" t="s">
        <v>138</v>
      </c>
      <c r="G2" s="13" t="s">
        <v>139</v>
      </c>
    </row>
    <row r="3" spans="1:7" ht="39.75" customHeight="1" x14ac:dyDescent="0.35">
      <c r="A3" s="23" t="s">
        <v>21</v>
      </c>
      <c r="B3" s="13" t="s">
        <v>22</v>
      </c>
      <c r="C3" s="13" t="s">
        <v>136</v>
      </c>
      <c r="D3" s="13" t="s">
        <v>140</v>
      </c>
      <c r="E3" s="13">
        <v>4</v>
      </c>
      <c r="F3" s="13" t="s">
        <v>138</v>
      </c>
      <c r="G3" s="13" t="s">
        <v>141</v>
      </c>
    </row>
    <row r="4" spans="1:7" ht="39.75" customHeight="1" x14ac:dyDescent="0.35">
      <c r="A4" s="23" t="s">
        <v>23</v>
      </c>
      <c r="B4" s="13" t="s">
        <v>22</v>
      </c>
      <c r="C4" s="13" t="s">
        <v>136</v>
      </c>
      <c r="D4" s="13" t="s">
        <v>142</v>
      </c>
      <c r="E4" s="13">
        <v>1</v>
      </c>
      <c r="F4" s="13" t="s">
        <v>138</v>
      </c>
      <c r="G4" s="13" t="s">
        <v>143</v>
      </c>
    </row>
    <row r="5" spans="1:7" ht="39.75" customHeight="1" x14ac:dyDescent="0.35">
      <c r="A5" s="23" t="s">
        <v>24</v>
      </c>
      <c r="B5" s="13" t="s">
        <v>25</v>
      </c>
      <c r="C5" s="13" t="s">
        <v>136</v>
      </c>
      <c r="D5" s="13" t="s">
        <v>144</v>
      </c>
      <c r="E5" s="13">
        <v>5</v>
      </c>
      <c r="F5" s="13" t="s">
        <v>138</v>
      </c>
      <c r="G5" s="13" t="s">
        <v>145</v>
      </c>
    </row>
    <row r="6" spans="1:7" ht="54.75" customHeight="1" x14ac:dyDescent="0.35">
      <c r="A6" s="23" t="s">
        <v>26</v>
      </c>
      <c r="B6" s="13" t="s">
        <v>27</v>
      </c>
      <c r="C6" s="13" t="s">
        <v>136</v>
      </c>
      <c r="D6" s="13" t="s">
        <v>146</v>
      </c>
      <c r="E6" s="13">
        <v>4</v>
      </c>
      <c r="F6" s="13" t="s">
        <v>138</v>
      </c>
      <c r="G6" s="13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70" customWidth="1"/>
    <col min="3" max="3" width="22" customWidth="1"/>
    <col min="4" max="4" width="60" customWidth="1"/>
  </cols>
  <sheetData>
    <row r="1" spans="1:4" ht="19.5" customHeight="1" x14ac:dyDescent="0.35">
      <c r="A1" s="3" t="s">
        <v>1</v>
      </c>
      <c r="B1" s="3" t="s">
        <v>148</v>
      </c>
      <c r="C1" s="3" t="s">
        <v>149</v>
      </c>
      <c r="D1" s="3" t="s">
        <v>150</v>
      </c>
    </row>
    <row r="2" spans="1:4" ht="174.75" customHeight="1" x14ac:dyDescent="0.35">
      <c r="A2" s="23" t="s">
        <v>19</v>
      </c>
      <c r="B2" s="13" t="s">
        <v>151</v>
      </c>
      <c r="C2" s="13" t="s">
        <v>152</v>
      </c>
      <c r="D2" s="13" t="s">
        <v>153</v>
      </c>
    </row>
    <row r="3" spans="1:4" ht="129.75" customHeight="1" x14ac:dyDescent="0.35">
      <c r="A3" s="23" t="s">
        <v>21</v>
      </c>
      <c r="B3" s="13" t="s">
        <v>154</v>
      </c>
      <c r="C3" s="13" t="s">
        <v>155</v>
      </c>
      <c r="D3" s="13" t="s">
        <v>156</v>
      </c>
    </row>
    <row r="4" spans="1:4" ht="114.75" customHeight="1" x14ac:dyDescent="0.35">
      <c r="A4" s="23" t="s">
        <v>23</v>
      </c>
      <c r="B4" s="13" t="s">
        <v>157</v>
      </c>
      <c r="C4" s="13" t="s">
        <v>158</v>
      </c>
      <c r="D4" s="13" t="s">
        <v>159</v>
      </c>
    </row>
    <row r="5" spans="1:4" ht="174.75" customHeight="1" x14ac:dyDescent="0.35">
      <c r="A5" s="23" t="s">
        <v>24</v>
      </c>
      <c r="B5" s="13" t="s">
        <v>160</v>
      </c>
      <c r="C5" s="13" t="s">
        <v>161</v>
      </c>
      <c r="D5" s="13" t="s">
        <v>162</v>
      </c>
    </row>
    <row r="6" spans="1:4" ht="144.75" customHeight="1" x14ac:dyDescent="0.35">
      <c r="A6" s="23" t="s">
        <v>26</v>
      </c>
      <c r="B6" s="13" t="s">
        <v>163</v>
      </c>
      <c r="C6" s="13" t="s">
        <v>164</v>
      </c>
      <c r="D6" s="13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Outcomes</vt:lpstr>
      <vt:lpstr>Evidence</vt:lpstr>
      <vt:lpstr>Quantitative</vt:lpstr>
      <vt:lpstr>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POSTNIKOVA, Tatiana</cp:lastModifiedBy>
  <cp:revision>0</cp:revision>
  <dcterms:created xsi:type="dcterms:W3CDTF">2026-07-01T23:59:01Z</dcterms:created>
  <dcterms:modified xsi:type="dcterms:W3CDTF">2026-07-02T13:30:50Z</dcterms:modified>
  <dc:language>en-US</dc:language>
</cp:coreProperties>
</file>